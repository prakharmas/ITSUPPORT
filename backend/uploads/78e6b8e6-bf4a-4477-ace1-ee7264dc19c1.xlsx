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poojachugh/Downloads/"/>
    </mc:Choice>
  </mc:AlternateContent>
  <xr:revisionPtr revIDLastSave="0" documentId="13_ncr:1_{F78675BB-1E0A-5C40-BA20-DD925C4A4B6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4" i="1"/>
  <c r="K3" i="1"/>
  <c r="K2" i="1"/>
</calcChain>
</file>

<file path=xl/sharedStrings.xml><?xml version="1.0" encoding="utf-8"?>
<sst xmlns="http://schemas.openxmlformats.org/spreadsheetml/2006/main" count="57" uniqueCount="35">
  <si>
    <t>Sotru-2</t>
  </si>
  <si>
    <t>Inbound</t>
  </si>
  <si>
    <t>Sotrue_IN2</t>
  </si>
  <si>
    <t>XFER</t>
  </si>
  <si>
    <t>CALLER</t>
  </si>
  <si>
    <t>Sotru-1</t>
  </si>
  <si>
    <t>Sotrue_IN</t>
  </si>
  <si>
    <t>CallDate</t>
  </si>
  <si>
    <t>Time</t>
  </si>
  <si>
    <t>Agent Id</t>
  </si>
  <si>
    <t>Agent Name</t>
  </si>
  <si>
    <t>Calltype</t>
  </si>
  <si>
    <t>Campaign Name</t>
  </si>
  <si>
    <t>Phone Number</t>
  </si>
  <si>
    <t>Disposition</t>
  </si>
  <si>
    <t>Disconn.By</t>
  </si>
  <si>
    <t>Call Duration Second</t>
  </si>
  <si>
    <t>Pulse Consumed</t>
  </si>
  <si>
    <t>Call Duration Minute</t>
  </si>
  <si>
    <t>Queue Duration</t>
  </si>
  <si>
    <t>Hold Time</t>
  </si>
  <si>
    <t>Talkduration</t>
  </si>
  <si>
    <t>Acwduration (Wrapup or Dispo time)</t>
  </si>
  <si>
    <t>Hours Slot</t>
  </si>
  <si>
    <t>Total Handled Time</t>
  </si>
  <si>
    <t>Call 20 Sec (SL)</t>
  </si>
  <si>
    <t>End Time</t>
  </si>
  <si>
    <t>Call Transfer Id</t>
  </si>
  <si>
    <t>Auditor's Requirement</t>
  </si>
  <si>
    <t>need support working</t>
  </si>
  <si>
    <t xml:space="preserve">1:59 recording </t>
  </si>
  <si>
    <t>1:24 recording</t>
  </si>
  <si>
    <t>0.44 recording</t>
  </si>
  <si>
    <t xml:space="preserve">4:51 recording </t>
  </si>
  <si>
    <t>2:27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</si>
</sst>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1" xfId="0" applyNumberFormat="1" applyBorder="1" applyAlignment="1">
      <alignment wrapText="1"/>
    </xf>
    <xf numFmtId="22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21" fontId="0" fillId="0" borderId="1" xfId="0" applyNumberFormat="1" applyBorder="1" applyAlignment="1">
      <alignment wrapText="1"/>
    </xf>
    <xf numFmtId="47" fontId="0" fillId="0" borderId="1" xfId="0" applyNumberForma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/>
    <xf numFmtId="14" fontId="0" fillId="2" borderId="1" xfId="0" applyNumberFormat="1" applyFill="1" applyBorder="1" applyAlignment="1">
      <alignment wrapText="1"/>
    </xf>
    <xf numFmtId="22" fontId="0" fillId="2" borderId="1" xfId="0" applyNumberFormat="1" applyFill="1" applyBorder="1" applyAlignment="1">
      <alignment wrapText="1"/>
    </xf>
    <xf numFmtId="21" fontId="0" fillId="2" borderId="1" xfId="0" applyNumberFormat="1" applyFill="1" applyBorder="1" applyAlignment="1">
      <alignment wrapText="1"/>
    </xf>
    <xf numFmtId="47" fontId="0" fillId="2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2" xfId="0" applyFill="1" applyBorder="1"/>
    <xf numFmtId="0" fontId="1" fillId="2" borderId="2" xfId="0" applyFont="1" applyFill="1" applyBorder="1"/>
    <xf numFmtId="0" fontId="0" fillId="0" borderId="3" xfId="0" applyBorder="1" applyAlignment="1">
      <alignment wrapText="1"/>
    </xf>
    <xf numFmtId="2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topLeftCell="B1" workbookViewId="0">
      <selection activeCell="W7" sqref="W7"/>
    </sheetView>
  </sheetViews>
  <sheetFormatPr baseColWidth="10" defaultColWidth="8.6640625" defaultRowHeight="15" x14ac:dyDescent="0.2"/>
  <cols>
    <col min="1" max="1" width="10.1640625" style="7" bestFit="1" customWidth="1"/>
    <col min="2" max="2" width="15.1640625" style="7" bestFit="1" customWidth="1"/>
    <col min="3" max="6" width="8.6640625" style="7"/>
    <col min="7" max="7" width="10.83203125" style="7" bestFit="1" customWidth="1"/>
    <col min="8" max="10" width="8.6640625" style="7"/>
    <col min="11" max="11" width="8.6640625" style="7" bestFit="1" customWidth="1"/>
    <col min="12" max="19" width="8.6640625" style="7"/>
    <col min="20" max="20" width="13.33203125" style="7" bestFit="1" customWidth="1"/>
    <col min="21" max="21" width="8.6640625" style="7"/>
    <col min="22" max="22" width="19.83203125" style="7" bestFit="1" customWidth="1"/>
    <col min="23" max="16384" width="8.6640625" style="7"/>
  </cols>
  <sheetData>
    <row r="1" spans="1:23" ht="80" x14ac:dyDescent="0.2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13" t="s">
        <v>27</v>
      </c>
      <c r="V1" s="14" t="s">
        <v>28</v>
      </c>
    </row>
    <row r="2" spans="1:23" ht="32" x14ac:dyDescent="0.2">
      <c r="A2" s="8">
        <v>46190</v>
      </c>
      <c r="B2" s="9">
        <v>46190.476724537039</v>
      </c>
      <c r="C2" s="12">
        <v>7222</v>
      </c>
      <c r="D2" s="6" t="s">
        <v>0</v>
      </c>
      <c r="E2" s="6" t="s">
        <v>1</v>
      </c>
      <c r="F2" s="6" t="s">
        <v>2</v>
      </c>
      <c r="G2" s="6">
        <v>9820825961</v>
      </c>
      <c r="H2" s="6" t="s">
        <v>3</v>
      </c>
      <c r="I2" s="6" t="s">
        <v>4</v>
      </c>
      <c r="J2" s="12">
        <v>1672</v>
      </c>
      <c r="K2" s="12">
        <f>ROUNDUP((J2/60),0)</f>
        <v>28</v>
      </c>
      <c r="L2" s="10">
        <v>1.9351851851851853E-2</v>
      </c>
      <c r="M2" s="11">
        <v>1.0416666666666667E-4</v>
      </c>
      <c r="N2" s="6"/>
      <c r="O2" s="10">
        <v>1.9351851851851853E-2</v>
      </c>
      <c r="P2" s="10">
        <v>0</v>
      </c>
      <c r="Q2" s="10">
        <v>0.45833333333333331</v>
      </c>
      <c r="R2" s="10">
        <v>1.9351851851851853E-2</v>
      </c>
      <c r="S2" s="6">
        <v>1</v>
      </c>
      <c r="T2" s="9">
        <v>46190.496076388888</v>
      </c>
      <c r="U2" s="13">
        <v>0</v>
      </c>
      <c r="V2" s="15" t="s">
        <v>29</v>
      </c>
      <c r="W2" s="7" t="s">
        <v>32</v>
      </c>
    </row>
    <row r="3" spans="1:23" ht="32" x14ac:dyDescent="0.2">
      <c r="A3" s="8">
        <v>46190</v>
      </c>
      <c r="B3" s="9">
        <v>46190.547118055554</v>
      </c>
      <c r="C3" s="12">
        <v>7222</v>
      </c>
      <c r="D3" s="6" t="s">
        <v>0</v>
      </c>
      <c r="E3" s="6" t="s">
        <v>1</v>
      </c>
      <c r="F3" s="6" t="s">
        <v>2</v>
      </c>
      <c r="G3" s="6">
        <v>9565611081</v>
      </c>
      <c r="H3" s="6" t="s">
        <v>3</v>
      </c>
      <c r="I3" s="6" t="s">
        <v>4</v>
      </c>
      <c r="J3" s="12">
        <v>1489</v>
      </c>
      <c r="K3" s="12">
        <f>ROUNDUP((J3/60),0)</f>
        <v>25</v>
      </c>
      <c r="L3" s="10">
        <v>1.7233796296296296E-2</v>
      </c>
      <c r="M3" s="11">
        <v>6.9444444444444444E-5</v>
      </c>
      <c r="N3" s="6"/>
      <c r="O3" s="10">
        <v>1.7233796296296296E-2</v>
      </c>
      <c r="P3" s="10">
        <v>0</v>
      </c>
      <c r="Q3" s="10">
        <v>0.54166666666666663</v>
      </c>
      <c r="R3" s="10">
        <v>1.7233796296296296E-2</v>
      </c>
      <c r="S3" s="6">
        <v>1</v>
      </c>
      <c r="T3" s="9">
        <v>46190.564351851855</v>
      </c>
      <c r="U3" s="13">
        <v>0</v>
      </c>
      <c r="V3" s="15" t="s">
        <v>29</v>
      </c>
      <c r="W3" s="7" t="s">
        <v>30</v>
      </c>
    </row>
    <row r="4" spans="1:23" ht="32" x14ac:dyDescent="0.2">
      <c r="A4" s="8">
        <v>46190</v>
      </c>
      <c r="B4" s="9">
        <v>46190.663726851853</v>
      </c>
      <c r="C4" s="12">
        <v>7221</v>
      </c>
      <c r="D4" s="6" t="s">
        <v>5</v>
      </c>
      <c r="E4" s="6" t="s">
        <v>1</v>
      </c>
      <c r="F4" s="6" t="s">
        <v>2</v>
      </c>
      <c r="G4" s="6">
        <v>9003360889</v>
      </c>
      <c r="H4" s="6" t="s">
        <v>3</v>
      </c>
      <c r="I4" s="6" t="s">
        <v>4</v>
      </c>
      <c r="J4" s="12">
        <v>498</v>
      </c>
      <c r="K4" s="12">
        <f>ROUNDUP((J4/60),0)</f>
        <v>9</v>
      </c>
      <c r="L4" s="10">
        <v>5.7638888888888887E-3</v>
      </c>
      <c r="M4" s="11">
        <v>1.3888888888888889E-4</v>
      </c>
      <c r="N4" s="6"/>
      <c r="O4" s="10">
        <v>5.7638888888888887E-3</v>
      </c>
      <c r="P4" s="10">
        <v>0</v>
      </c>
      <c r="Q4" s="10">
        <v>0.625</v>
      </c>
      <c r="R4" s="10">
        <v>5.7638888888888887E-3</v>
      </c>
      <c r="S4" s="6">
        <v>1</v>
      </c>
      <c r="T4" s="9">
        <v>46190.669490740744</v>
      </c>
      <c r="U4" s="13">
        <v>0</v>
      </c>
      <c r="V4" s="15" t="s">
        <v>29</v>
      </c>
      <c r="W4" s="7" t="s">
        <v>31</v>
      </c>
    </row>
    <row r="5" spans="1:23" ht="16" x14ac:dyDescent="0.2">
      <c r="A5" s="8">
        <v>46190</v>
      </c>
      <c r="B5" s="9">
        <v>46190.735567129632</v>
      </c>
      <c r="C5" s="12">
        <v>7222</v>
      </c>
      <c r="D5" s="6" t="s">
        <v>0</v>
      </c>
      <c r="E5" s="6" t="s">
        <v>1</v>
      </c>
      <c r="F5" s="6" t="s">
        <v>6</v>
      </c>
      <c r="G5" s="6">
        <v>8369975906</v>
      </c>
      <c r="H5" s="6" t="s">
        <v>3</v>
      </c>
      <c r="I5" s="6" t="s">
        <v>4</v>
      </c>
      <c r="J5" s="12">
        <v>442</v>
      </c>
      <c r="K5" s="12">
        <f>ROUNDUP((J5/60),0)</f>
        <v>8</v>
      </c>
      <c r="L5" s="10">
        <v>5.115740740740741E-3</v>
      </c>
      <c r="M5" s="11">
        <v>1.8518518518518518E-4</v>
      </c>
      <c r="N5" s="6"/>
      <c r="O5" s="10">
        <v>5.115740740740741E-3</v>
      </c>
      <c r="P5" s="10">
        <v>0</v>
      </c>
      <c r="Q5" s="10">
        <v>0.70833333333333337</v>
      </c>
      <c r="R5" s="10">
        <v>5.115740740740741E-3</v>
      </c>
      <c r="S5" s="6">
        <v>1</v>
      </c>
      <c r="T5" s="9">
        <v>46190.740682870368</v>
      </c>
      <c r="U5" s="13">
        <v>0</v>
      </c>
      <c r="V5" s="15" t="s">
        <v>29</v>
      </c>
      <c r="W5" s="17" t="s">
        <v>33</v>
      </c>
    </row>
    <row r="6" spans="1:23" customFormat="1" ht="32" x14ac:dyDescent="0.2">
      <c r="A6" s="1">
        <v>46190</v>
      </c>
      <c r="B6" s="2">
        <v>46190.744004629632</v>
      </c>
      <c r="C6" s="12">
        <v>7221</v>
      </c>
      <c r="D6" s="3" t="s">
        <v>5</v>
      </c>
      <c r="E6" s="3" t="s">
        <v>1</v>
      </c>
      <c r="F6" s="3" t="s">
        <v>2</v>
      </c>
      <c r="G6" s="3">
        <v>6387855069</v>
      </c>
      <c r="H6" s="3" t="s">
        <v>3</v>
      </c>
      <c r="I6" s="3" t="s">
        <v>4</v>
      </c>
      <c r="J6" s="12">
        <v>461</v>
      </c>
      <c r="K6" s="12">
        <f>ROUNDUP((J6/60),0)</f>
        <v>8</v>
      </c>
      <c r="L6" s="4">
        <v>5.3356481481481484E-3</v>
      </c>
      <c r="M6" s="5">
        <v>2.8935185185185184E-4</v>
      </c>
      <c r="N6" s="3"/>
      <c r="O6" s="4">
        <v>5.3356481481481484E-3</v>
      </c>
      <c r="P6" s="4">
        <v>0</v>
      </c>
      <c r="Q6" s="4">
        <v>0.70833333333333337</v>
      </c>
      <c r="R6" s="4">
        <v>5.3356481481481484E-3</v>
      </c>
      <c r="S6" s="3">
        <v>0</v>
      </c>
      <c r="T6" s="2">
        <v>46190.749340277776</v>
      </c>
      <c r="U6" s="16">
        <v>0</v>
      </c>
      <c r="V6" s="15" t="s">
        <v>29</v>
      </c>
      <c r="W6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2015-06-05T18:17:20Z</dcterms:created>
  <dcterms:modified xsi:type="dcterms:W3CDTF">2026-06-18T13:02:23Z</dcterms:modified>
</cp:coreProperties>
</file>